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velopment\Projects\FrontierView\agent\docs\"/>
    </mc:Choice>
  </mc:AlternateContent>
  <xr:revisionPtr revIDLastSave="0" documentId="13_ncr:1_{E80538E0-A9D9-4B93-A5FE-3A8F07A93D91}" xr6:coauthVersionLast="47" xr6:coauthVersionMax="47" xr10:uidLastSave="{00000000-0000-0000-0000-000000000000}"/>
  <bookViews>
    <workbookView xWindow="6630" yWindow="6630" windowWidth="43200" windowHeight="23445" tabRatio="500" xr2:uid="{00000000-000D-0000-FFFF-FFFF00000000}"/>
  </bookViews>
  <sheets>
    <sheet name="Cost Model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" i="1" l="1"/>
  <c r="B18" i="1"/>
  <c r="B17" i="1"/>
  <c r="B16" i="1"/>
  <c r="B20" i="1" l="1"/>
  <c r="B21" i="1"/>
  <c r="D26" i="1" l="1"/>
  <c r="D27" i="1"/>
  <c r="D28" i="1"/>
  <c r="D29" i="1"/>
  <c r="D30" i="1"/>
  <c r="D31" i="1"/>
  <c r="D32" i="1"/>
  <c r="D33" i="1"/>
  <c r="D34" i="1"/>
  <c r="D35" i="1"/>
  <c r="D25" i="1"/>
  <c r="D36" i="1"/>
  <c r="E26" i="1" l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F34" i="1"/>
  <c r="E34" i="1"/>
  <c r="E35" i="1"/>
  <c r="F35" i="1"/>
  <c r="E25" i="1"/>
  <c r="F25" i="1"/>
  <c r="E36" i="1"/>
  <c r="F36" i="1"/>
</calcChain>
</file>

<file path=xl/sharedStrings.xml><?xml version="1.0" encoding="utf-8"?>
<sst xmlns="http://schemas.openxmlformats.org/spreadsheetml/2006/main" count="47" uniqueCount="47">
  <si>
    <t>FrontierView Agent — LLM Cost Model</t>
  </si>
  <si>
    <t>Edit the blue cells. Everything else recalculates. Rates as of June 2026 — verify before committing spend.</t>
  </si>
  <si>
    <t>INPUTS  (edit the blue cells)</t>
  </si>
  <si>
    <t>Tool-call steps per query (N)</t>
  </si>
  <si>
    <t>Fixed overhead tokens — system prompt + tool defs (F)</t>
  </si>
  <si>
    <t>Question tokens (Q)</t>
  </si>
  <si>
    <t>Assistant output per step — reasoning + tool call (S)</t>
  </si>
  <si>
    <t>Tool result tokens per step (R)</t>
  </si>
  <si>
    <t>Final answer output tokens (A)</t>
  </si>
  <si>
    <t>Monthly query volume</t>
  </si>
  <si>
    <t>Prompt caching on?  (1 = yes, 0 = no)</t>
  </si>
  <si>
    <t>Cache read discount  (0.9 = 90% off)</t>
  </si>
  <si>
    <t>PER-QUERY TOKENS  (calculated)</t>
  </si>
  <si>
    <t>Total API calls per query</t>
  </si>
  <si>
    <t>Total input tokens</t>
  </si>
  <si>
    <t>Total output tokens</t>
  </si>
  <si>
    <t>Cacheable savings (tokens)</t>
  </si>
  <si>
    <t>Effective input tokens (after caching)</t>
  </si>
  <si>
    <t>Effective output tokens</t>
  </si>
  <si>
    <t>MODEL COMPARISON</t>
  </si>
  <si>
    <t>Model</t>
  </si>
  <si>
    <t>Input ($/M)</t>
  </si>
  <si>
    <t>Output ($/M)</t>
  </si>
  <si>
    <t>Cost / query</t>
  </si>
  <si>
    <t>Cost / 1,000</t>
  </si>
  <si>
    <t>Monthly @ volume</t>
  </si>
  <si>
    <t>OpenAI GPT-5.5</t>
  </si>
  <si>
    <t>Anthropic Claude Opus 4.7</t>
  </si>
  <si>
    <t>Anthropic Claude Sonnet 4.6</t>
  </si>
  <si>
    <t>OpenAI GPT-5.4</t>
  </si>
  <si>
    <t>Google Gemini 3.1 Pro</t>
  </si>
  <si>
    <t>Google Gemini 3.5 Flash</t>
  </si>
  <si>
    <t>Anthropic Claude Haiku 4.5</t>
  </si>
  <si>
    <t>OpenAI GPT-5.4 Mini</t>
  </si>
  <si>
    <t>Google Gemini 3.1 Flash-Lite</t>
  </si>
  <si>
    <t>OpenAI GPT-5.4 Nano</t>
  </si>
  <si>
    <t>Google Gemini 2.5 Flash-Lite</t>
  </si>
  <si>
    <t>DeepSeek V3.2</t>
  </si>
  <si>
    <t>Notes &amp; assumptions</t>
  </si>
  <si>
    <t>• One query = a loop of N tool calls + 1 final answer. Input tokens dominate because the system prompt, tool definitions and the</t>
  </si>
  <si>
    <t xml:space="preserve">   growing transcript are resent on every call (the model is stateless). Output stays small — short reasoning + tiny numeric tool results.</t>
  </si>
  <si>
    <t>• Caching is modelled simply: it discounts the fixed overhead (F) on the N repeat calls by the cache read discount. It ignores</t>
  </si>
  <si>
    <t xml:space="preserve">   cache-write premiums and incremental transcript caching, so real-world caching savings will differ somewhat from this figure.</t>
  </si>
  <si>
    <t>• Rates are provider public list prices (standard tier), gathered June 2026. All three majors also offer ~50% batch discounts.</t>
  </si>
  <si>
    <t>• Cheapest tier (Nano, Flash-Lite, DeepSeek) can be less reliable at multi-step tool calling / argument correctness — a wrong</t>
  </si>
  <si>
    <t xml:space="preserve">   argument triggers a retry, which costs tokens. Test reliability in Phase 1 before trusting the rock-bottom cost.</t>
  </si>
  <si>
    <t>• Dev can be ~free: Google AI Studio's free tier covers Flash / Flash-Lite at zero cost with rate limits (data may be used for training).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</si>
</sst>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\$#,##0.00"/>
    <numFmt numFmtId="166" formatCode="\$#,##0.0000"/>
  </numFmts>
  <fonts count="11" x14ac:knownFonts="1">
    <font>
      <sz val="11"/>
      <color theme="1"/>
      <name val="Calibri"/>
      <family val="2"/>
      <charset val="1"/>
    </font>
    <font>
      <b/>
      <sz val="15"/>
      <color rgb="FF1F3864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b/>
      <sz val="11"/>
      <color rgb="FF1F3864"/>
      <name val="Arial"/>
      <family val="2"/>
    </font>
    <font>
      <sz val="9"/>
      <color rgb="FF40404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0066CC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1" fontId="5" fillId="3" borderId="1" xfId="0" applyNumberFormat="1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3" fontId="6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165" fontId="8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165" fontId="8" fillId="5" borderId="1" xfId="0" applyNumberFormat="1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showGridLines="0" tabSelected="1" zoomScale="115" zoomScaleNormal="115" workbookViewId="0">
      <selection activeCell="D14" sqref="D14"/>
    </sheetView>
  </sheetViews>
  <sheetFormatPr defaultColWidth="8.7109375" defaultRowHeight="15" x14ac:dyDescent="0.25"/>
  <cols>
    <col min="1" max="1" width="52" customWidth="1"/>
    <col min="2" max="6" width="15" customWidth="1"/>
  </cols>
  <sheetData>
    <row r="1" spans="1:2" ht="19.5" x14ac:dyDescent="0.25">
      <c r="A1" s="1" t="s">
        <v>0</v>
      </c>
    </row>
    <row r="2" spans="1:2" x14ac:dyDescent="0.25">
      <c r="A2" s="2" t="s">
        <v>1</v>
      </c>
    </row>
    <row r="4" spans="1:2" x14ac:dyDescent="0.25">
      <c r="A4" s="3" t="s">
        <v>2</v>
      </c>
      <c r="B4" s="4"/>
    </row>
    <row r="5" spans="1:2" x14ac:dyDescent="0.25">
      <c r="A5" s="5" t="s">
        <v>3</v>
      </c>
      <c r="B5" s="6">
        <v>6</v>
      </c>
    </row>
    <row r="6" spans="1:2" x14ac:dyDescent="0.25">
      <c r="A6" s="5" t="s">
        <v>4</v>
      </c>
      <c r="B6" s="7">
        <v>1250</v>
      </c>
    </row>
    <row r="7" spans="1:2" x14ac:dyDescent="0.25">
      <c r="A7" s="5" t="s">
        <v>5</v>
      </c>
      <c r="B7" s="7">
        <v>50</v>
      </c>
    </row>
    <row r="8" spans="1:2" x14ac:dyDescent="0.25">
      <c r="A8" s="5" t="s">
        <v>6</v>
      </c>
      <c r="B8" s="7">
        <v>150</v>
      </c>
    </row>
    <row r="9" spans="1:2" x14ac:dyDescent="0.25">
      <c r="A9" s="5" t="s">
        <v>7</v>
      </c>
      <c r="B9" s="7">
        <v>150</v>
      </c>
    </row>
    <row r="10" spans="1:2" x14ac:dyDescent="0.25">
      <c r="A10" s="5" t="s">
        <v>8</v>
      </c>
      <c r="B10" s="7">
        <v>300</v>
      </c>
    </row>
    <row r="11" spans="1:2" x14ac:dyDescent="0.25">
      <c r="A11" s="5" t="s">
        <v>9</v>
      </c>
      <c r="B11" s="7">
        <v>1000</v>
      </c>
    </row>
    <row r="12" spans="1:2" x14ac:dyDescent="0.25">
      <c r="A12" s="5" t="s">
        <v>10</v>
      </c>
      <c r="B12" s="6">
        <v>0</v>
      </c>
    </row>
    <row r="13" spans="1:2" x14ac:dyDescent="0.25">
      <c r="A13" s="5" t="s">
        <v>11</v>
      </c>
      <c r="B13" s="8">
        <v>0.9</v>
      </c>
    </row>
    <row r="15" spans="1:2" x14ac:dyDescent="0.25">
      <c r="A15" s="3" t="s">
        <v>12</v>
      </c>
      <c r="B15" s="4"/>
    </row>
    <row r="16" spans="1:2" x14ac:dyDescent="0.25">
      <c r="A16" s="5" t="s">
        <v>13</v>
      </c>
      <c r="B16" s="9">
        <f>B5+1</f>
        <v>7</v>
      </c>
    </row>
    <row r="17" spans="1:6" x14ac:dyDescent="0.25">
      <c r="A17" s="5" t="s">
        <v>14</v>
      </c>
      <c r="B17" s="10">
        <f>(B5+1)*(B6+B7)+(B8+B9)*(B5+1)*B5/2</f>
        <v>15400</v>
      </c>
    </row>
    <row r="18" spans="1:6" x14ac:dyDescent="0.25">
      <c r="A18" s="5" t="s">
        <v>15</v>
      </c>
      <c r="B18" s="10">
        <f>B5*B8+B10</f>
        <v>1200</v>
      </c>
    </row>
    <row r="19" spans="1:6" x14ac:dyDescent="0.25">
      <c r="A19" s="5" t="s">
        <v>16</v>
      </c>
      <c r="B19" s="10">
        <f>IF(B12=1,B6*B5*B13,0)</f>
        <v>0</v>
      </c>
    </row>
    <row r="20" spans="1:6" x14ac:dyDescent="0.25">
      <c r="A20" s="11" t="s">
        <v>17</v>
      </c>
      <c r="B20" s="12">
        <f>B17-B19</f>
        <v>15400</v>
      </c>
    </row>
    <row r="21" spans="1:6" x14ac:dyDescent="0.25">
      <c r="A21" s="11" t="s">
        <v>18</v>
      </c>
      <c r="B21" s="12">
        <f>B18</f>
        <v>1200</v>
      </c>
    </row>
    <row r="23" spans="1:6" x14ac:dyDescent="0.25">
      <c r="A23" s="3" t="s">
        <v>19</v>
      </c>
      <c r="B23" s="4"/>
      <c r="C23" s="4"/>
      <c r="D23" s="4"/>
      <c r="E23" s="4"/>
      <c r="F23" s="4"/>
    </row>
    <row r="24" spans="1:6" ht="25.5" x14ac:dyDescent="0.25">
      <c r="A24" s="13" t="s">
        <v>20</v>
      </c>
      <c r="B24" s="13" t="s">
        <v>21</v>
      </c>
      <c r="C24" s="13" t="s">
        <v>22</v>
      </c>
      <c r="D24" s="13" t="s">
        <v>23</v>
      </c>
      <c r="E24" s="13" t="s">
        <v>24</v>
      </c>
      <c r="F24" s="13" t="s">
        <v>25</v>
      </c>
    </row>
    <row r="25" spans="1:6" x14ac:dyDescent="0.25">
      <c r="A25" s="14" t="s">
        <v>26</v>
      </c>
      <c r="B25" s="15">
        <v>5</v>
      </c>
      <c r="C25" s="15">
        <v>30</v>
      </c>
      <c r="D25" s="16">
        <f t="shared" ref="D25:D36" si="0">($B$20/1000000)*B25+($B$21/1000000)*C25</f>
        <v>0.11299999999999999</v>
      </c>
      <c r="E25" s="17">
        <f t="shared" ref="E25:E36" si="1">D25*1000</f>
        <v>112.99999999999999</v>
      </c>
      <c r="F25" s="17">
        <f t="shared" ref="F25:F36" si="2">D25*$B$11</f>
        <v>112.99999999999999</v>
      </c>
    </row>
    <row r="26" spans="1:6" x14ac:dyDescent="0.25">
      <c r="A26" s="18" t="s">
        <v>27</v>
      </c>
      <c r="B26" s="19">
        <v>5</v>
      </c>
      <c r="C26" s="19">
        <v>25</v>
      </c>
      <c r="D26" s="20">
        <f t="shared" si="0"/>
        <v>0.107</v>
      </c>
      <c r="E26" s="21">
        <f t="shared" si="1"/>
        <v>107</v>
      </c>
      <c r="F26" s="21">
        <f t="shared" si="2"/>
        <v>107</v>
      </c>
    </row>
    <row r="27" spans="1:6" x14ac:dyDescent="0.25">
      <c r="A27" s="14" t="s">
        <v>28</v>
      </c>
      <c r="B27" s="15">
        <v>3</v>
      </c>
      <c r="C27" s="15">
        <v>15</v>
      </c>
      <c r="D27" s="16">
        <f t="shared" si="0"/>
        <v>6.4200000000000007E-2</v>
      </c>
      <c r="E27" s="17">
        <f t="shared" si="1"/>
        <v>64.2</v>
      </c>
      <c r="F27" s="17">
        <f t="shared" si="2"/>
        <v>64.2</v>
      </c>
    </row>
    <row r="28" spans="1:6" x14ac:dyDescent="0.25">
      <c r="A28" s="18" t="s">
        <v>29</v>
      </c>
      <c r="B28" s="19">
        <v>2.5</v>
      </c>
      <c r="C28" s="19">
        <v>15</v>
      </c>
      <c r="D28" s="20">
        <f t="shared" si="0"/>
        <v>5.6499999999999995E-2</v>
      </c>
      <c r="E28" s="21">
        <f t="shared" si="1"/>
        <v>56.499999999999993</v>
      </c>
      <c r="F28" s="21">
        <f t="shared" si="2"/>
        <v>56.499999999999993</v>
      </c>
    </row>
    <row r="29" spans="1:6" x14ac:dyDescent="0.25">
      <c r="A29" s="14" t="s">
        <v>30</v>
      </c>
      <c r="B29" s="15">
        <v>2</v>
      </c>
      <c r="C29" s="15">
        <v>12</v>
      </c>
      <c r="D29" s="16">
        <f t="shared" si="0"/>
        <v>4.5200000000000004E-2</v>
      </c>
      <c r="E29" s="17">
        <f t="shared" si="1"/>
        <v>45.2</v>
      </c>
      <c r="F29" s="17">
        <f t="shared" si="2"/>
        <v>45.2</v>
      </c>
    </row>
    <row r="30" spans="1:6" x14ac:dyDescent="0.25">
      <c r="A30" s="18" t="s">
        <v>31</v>
      </c>
      <c r="B30" s="19">
        <v>1.5</v>
      </c>
      <c r="C30" s="19">
        <v>9</v>
      </c>
      <c r="D30" s="20">
        <f t="shared" si="0"/>
        <v>3.39E-2</v>
      </c>
      <c r="E30" s="21">
        <f t="shared" si="1"/>
        <v>33.9</v>
      </c>
      <c r="F30" s="21">
        <f t="shared" si="2"/>
        <v>33.9</v>
      </c>
    </row>
    <row r="31" spans="1:6" x14ac:dyDescent="0.25">
      <c r="A31" s="14" t="s">
        <v>32</v>
      </c>
      <c r="B31" s="15">
        <v>1</v>
      </c>
      <c r="C31" s="15">
        <v>5</v>
      </c>
      <c r="D31" s="16">
        <f t="shared" si="0"/>
        <v>2.1399999999999999E-2</v>
      </c>
      <c r="E31" s="17">
        <f t="shared" si="1"/>
        <v>21.4</v>
      </c>
      <c r="F31" s="17">
        <f t="shared" si="2"/>
        <v>21.4</v>
      </c>
    </row>
    <row r="32" spans="1:6" x14ac:dyDescent="0.25">
      <c r="A32" s="18" t="s">
        <v>33</v>
      </c>
      <c r="B32" s="19">
        <v>0.75</v>
      </c>
      <c r="C32" s="19">
        <v>4.5</v>
      </c>
      <c r="D32" s="20">
        <f t="shared" si="0"/>
        <v>1.695E-2</v>
      </c>
      <c r="E32" s="21">
        <f t="shared" si="1"/>
        <v>16.95</v>
      </c>
      <c r="F32" s="21">
        <f t="shared" si="2"/>
        <v>16.95</v>
      </c>
    </row>
    <row r="33" spans="1:6" x14ac:dyDescent="0.25">
      <c r="A33" s="14" t="s">
        <v>34</v>
      </c>
      <c r="B33" s="15">
        <v>0.25</v>
      </c>
      <c r="C33" s="15">
        <v>1.5</v>
      </c>
      <c r="D33" s="16">
        <f t="shared" si="0"/>
        <v>5.6500000000000005E-3</v>
      </c>
      <c r="E33" s="17">
        <f t="shared" si="1"/>
        <v>5.65</v>
      </c>
      <c r="F33" s="17">
        <f t="shared" si="2"/>
        <v>5.65</v>
      </c>
    </row>
    <row r="34" spans="1:6" x14ac:dyDescent="0.25">
      <c r="A34" s="18" t="s">
        <v>35</v>
      </c>
      <c r="B34" s="19">
        <v>0.2</v>
      </c>
      <c r="C34" s="19">
        <v>1.25</v>
      </c>
      <c r="D34" s="20">
        <f t="shared" si="0"/>
        <v>4.5799999999999999E-3</v>
      </c>
      <c r="E34" s="21">
        <f t="shared" si="1"/>
        <v>4.58</v>
      </c>
      <c r="F34" s="21">
        <f t="shared" si="2"/>
        <v>4.58</v>
      </c>
    </row>
    <row r="35" spans="1:6" x14ac:dyDescent="0.25">
      <c r="A35" s="14" t="s">
        <v>36</v>
      </c>
      <c r="B35" s="15">
        <v>0.1</v>
      </c>
      <c r="C35" s="15">
        <v>0.4</v>
      </c>
      <c r="D35" s="16">
        <f t="shared" si="0"/>
        <v>2.0200000000000001E-3</v>
      </c>
      <c r="E35" s="17">
        <f t="shared" si="1"/>
        <v>2.02</v>
      </c>
      <c r="F35" s="17">
        <f t="shared" si="2"/>
        <v>2.02</v>
      </c>
    </row>
    <row r="36" spans="1:6" x14ac:dyDescent="0.25">
      <c r="A36" s="18" t="s">
        <v>37</v>
      </c>
      <c r="B36" s="19">
        <v>0.14000000000000001</v>
      </c>
      <c r="C36" s="19">
        <v>0.28000000000000003</v>
      </c>
      <c r="D36" s="20">
        <f t="shared" si="0"/>
        <v>2.4920000000000003E-3</v>
      </c>
      <c r="E36" s="21">
        <f t="shared" si="1"/>
        <v>2.4920000000000004</v>
      </c>
      <c r="F36" s="21">
        <f t="shared" si="2"/>
        <v>2.4920000000000004</v>
      </c>
    </row>
    <row r="39" spans="1:6" x14ac:dyDescent="0.25">
      <c r="A39" s="22" t="s">
        <v>38</v>
      </c>
    </row>
    <row r="40" spans="1:6" x14ac:dyDescent="0.25">
      <c r="A40" s="23" t="s">
        <v>39</v>
      </c>
    </row>
    <row r="41" spans="1:6" x14ac:dyDescent="0.25">
      <c r="A41" s="23" t="s">
        <v>40</v>
      </c>
    </row>
    <row r="42" spans="1:6" x14ac:dyDescent="0.25">
      <c r="A42" s="23" t="s">
        <v>41</v>
      </c>
    </row>
    <row r="43" spans="1:6" x14ac:dyDescent="0.25">
      <c r="A43" s="23" t="s">
        <v>42</v>
      </c>
    </row>
    <row r="44" spans="1:6" x14ac:dyDescent="0.25">
      <c r="A44" s="23" t="s">
        <v>43</v>
      </c>
    </row>
    <row r="45" spans="1:6" x14ac:dyDescent="0.25">
      <c r="A45" s="23" t="s">
        <v>44</v>
      </c>
    </row>
    <row r="46" spans="1:6" x14ac:dyDescent="0.25">
      <c r="A46" s="23" t="s">
        <v>45</v>
      </c>
    </row>
    <row r="47" spans="1:6" x14ac:dyDescent="0.25">
      <c r="A47" s="23" t="s">
        <v>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Gareth Cooke</cp:lastModifiedBy>
  <cp:revision>0</cp:revision>
  <dcterms:created xsi:type="dcterms:W3CDTF">2026-06-04T15:31:30Z</dcterms:created>
  <dcterms:modified xsi:type="dcterms:W3CDTF">2026-06-04T15:50:53Z</dcterms:modified>
  <dc:language>en-US</dc:language>
</cp:coreProperties>
</file>